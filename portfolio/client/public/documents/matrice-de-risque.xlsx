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iema Aguiratou\Documents\"/>
    </mc:Choice>
  </mc:AlternateContent>
  <xr:revisionPtr revIDLastSave="0" documentId="8_{1419F39C-657D-42A6-A601-0C195EA69F1A}" xr6:coauthVersionLast="47" xr6:coauthVersionMax="47" xr10:uidLastSave="{00000000-0000-0000-0000-000000000000}"/>
  <bookViews>
    <workbookView xWindow="-110" yWindow="-110" windowWidth="19420" windowHeight="10300" xr2:uid="{38D07A8C-000B-4EBE-A512-D2A271826F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1" l="1"/>
  <c r="B23" i="1"/>
  <c r="B21" i="1"/>
  <c r="B19" i="1"/>
  <c r="B17" i="1"/>
  <c r="F8" i="1"/>
  <c r="F9" i="1"/>
  <c r="F10" i="1"/>
  <c r="E4" i="1"/>
  <c r="F4" i="1" s="1"/>
  <c r="E5" i="1"/>
  <c r="F5" i="1" s="1"/>
  <c r="E6" i="1"/>
  <c r="F6" i="1" s="1"/>
  <c r="E7" i="1"/>
  <c r="F7" i="1" s="1"/>
  <c r="E8" i="1"/>
  <c r="E9" i="1"/>
  <c r="E10" i="1"/>
  <c r="E11" i="1"/>
  <c r="F11" i="1" s="1"/>
  <c r="E12" i="1"/>
  <c r="F12" i="1" s="1"/>
  <c r="E13" i="1"/>
  <c r="F13" i="1" s="1"/>
  <c r="E14" i="1"/>
  <c r="F14" i="1" s="1"/>
  <c r="E3" i="1"/>
  <c r="F3" i="1" s="1"/>
</calcChain>
</file>

<file path=xl/sharedStrings.xml><?xml version="1.0" encoding="utf-8"?>
<sst xmlns="http://schemas.openxmlformats.org/spreadsheetml/2006/main" count="50" uniqueCount="50">
  <si>
    <t>ID</t>
  </si>
  <si>
    <t>Risque</t>
  </si>
  <si>
    <t>Probabilité</t>
  </si>
  <si>
    <t>Impact</t>
  </si>
  <si>
    <t>Score</t>
  </si>
  <si>
    <t>Niveau</t>
  </si>
  <si>
    <t>Action</t>
  </si>
  <si>
    <t>R1</t>
  </si>
  <si>
    <t>R2</t>
  </si>
  <si>
    <t>R3</t>
  </si>
  <si>
    <t>R4</t>
  </si>
  <si>
    <t>R5</t>
  </si>
  <si>
    <t>R6</t>
  </si>
  <si>
    <t>R7</t>
  </si>
  <si>
    <t>R8</t>
  </si>
  <si>
    <t>Difficulté de prise de décision (pas de leader unique)</t>
  </si>
  <si>
    <t>Conflits ou désaccords entre membres</t>
  </si>
  <si>
    <t>Démotivation liée à la non-reconnaissance des efforts</t>
  </si>
  <si>
    <t>Répartition inégale des tâches</t>
  </si>
  <si>
    <t>Absence d'un membre de l'équipe</t>
  </si>
  <si>
    <t>Dépendance à certains membres clés</t>
  </si>
  <si>
    <t>Dysfonctionnement ou indisponibilité des technologies utilisées</t>
  </si>
  <si>
    <t>R9</t>
  </si>
  <si>
    <t>R10</t>
  </si>
  <si>
    <t>R11</t>
  </si>
  <si>
    <t>R12</t>
  </si>
  <si>
    <t>Manque de données historiques exploitables</t>
  </si>
  <si>
    <t>Temps insuffisant pour les tests</t>
  </si>
  <si>
    <t>Bug lors de la démonstration</t>
  </si>
  <si>
    <t>Stress ou panique lors de la présentation</t>
  </si>
  <si>
    <t>Difficultés d'intégration des modules développés séparément</t>
  </si>
  <si>
    <t>Répartition et suivi des tâches via WBS/Kanban</t>
  </si>
  <si>
    <t>Planification des séances de validation</t>
  </si>
  <si>
    <t>Tests d'intégration réguliers et partage du code</t>
  </si>
  <si>
    <t>Organiser des réunions régulières et voter les décisions importantes</t>
  </si>
  <si>
    <t>Valoriser les contributions de chaque membre et partager les responsabilités</t>
  </si>
  <si>
    <t>Favoriser la communication et la résolution rapide des conflits</t>
  </si>
  <si>
    <t>Collecter davantage de données et intégrer l'historique disponible</t>
  </si>
  <si>
    <t>Réaliser plusieurs répétitions de démonstration avant la soutenance</t>
  </si>
  <si>
    <t>Préparer les présentations et effectuer des simulations de soutenance</t>
  </si>
  <si>
    <t>Réaffectation des tâches en cas d'indisponibilité d'un membre.</t>
  </si>
  <si>
    <t>Redistribution des tâches critiques afin d'éviter qu'une seule personne soit indispensable</t>
  </si>
  <si>
    <t>Prévoir des solutions alternatives et des modes de fonctionnement sans dépendance à une technologie unique</t>
  </si>
  <si>
    <t>Nombre de risques :</t>
  </si>
  <si>
    <t xml:space="preserve">Risques critiques : </t>
  </si>
  <si>
    <t>Risques élevés :</t>
  </si>
  <si>
    <t>Risques moyens :</t>
  </si>
  <si>
    <t>Risques faibles :</t>
  </si>
  <si>
    <t>📊 MATRICE D'ANALYSE DES RISQUES</t>
  </si>
  <si>
    <t>📈 RÉSUMÉ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</si>
</sst>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4444"/>
      <name val="Aptos Narrow"/>
      <family val="2"/>
      <scheme val="minor"/>
    </font>
    <font>
      <b/>
      <sz val="11"/>
      <color rgb="FFFF9933"/>
      <name val="Aptos Narrow"/>
      <family val="2"/>
      <scheme val="minor"/>
    </font>
    <font>
      <b/>
      <sz val="11"/>
      <color rgb="FFCC9900"/>
      <name val="Aptos Narrow"/>
      <family val="2"/>
      <scheme val="minor"/>
    </font>
    <font>
      <b/>
      <sz val="11"/>
      <color rgb="FF44BB44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12"/>
      <color rgb="FF1F4E79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F4444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DD44"/>
        <bgColor indexed="64"/>
      </patternFill>
    </fill>
    <fill>
      <patternFill patternType="solid">
        <fgColor rgb="FF44BB4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D6E3F8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1F4E79"/>
      </right>
      <top/>
      <bottom/>
      <diagonal/>
    </border>
    <border>
      <left style="thin">
        <color rgb="FF1F4E79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1F4E79"/>
      </right>
      <top style="thin">
        <color rgb="FFB4C6E7"/>
      </top>
      <bottom style="thin">
        <color rgb="FFB4C6E7"/>
      </bottom>
      <diagonal/>
    </border>
    <border>
      <left style="thin">
        <color rgb="FF1F4E79"/>
      </left>
      <right/>
      <top style="thin">
        <color rgb="FF1F4E79"/>
      </top>
      <bottom/>
      <diagonal/>
    </border>
    <border>
      <left style="thin">
        <color rgb="FF1F4E79"/>
      </left>
      <right/>
      <top/>
      <bottom/>
      <diagonal/>
    </border>
    <border>
      <left style="thin">
        <color rgb="FF1F4E79"/>
      </left>
      <right/>
      <top/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/>
      <diagonal/>
    </border>
    <border>
      <left/>
      <right style="thin">
        <color rgb="FF1F4E79"/>
      </right>
      <top/>
      <bottom style="thin">
        <color rgb="FF1F4E79"/>
      </bottom>
      <diagonal/>
    </border>
    <border>
      <left/>
      <right/>
      <top/>
      <bottom style="double">
        <color rgb="FF1F4E79"/>
      </bottom>
      <diagonal/>
    </border>
    <border>
      <left style="thin">
        <color rgb="FF1F4E79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1F4E79"/>
      </right>
      <top/>
      <bottom style="thin">
        <color rgb="FFB4C6E7"/>
      </bottom>
      <diagonal/>
    </border>
    <border>
      <left style="thin">
        <color rgb="FF1F4E79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1F4E79"/>
      </right>
      <top style="thin">
        <color rgb="FFB4C6E7"/>
      </top>
      <bottom/>
      <diagonal/>
    </border>
    <border>
      <left style="thin">
        <color rgb="FF1F4E79"/>
      </left>
      <right style="thin">
        <color rgb="FFB4C6E7"/>
      </right>
      <top style="thin">
        <color rgb="FF1F4E79"/>
      </top>
      <bottom style="thin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1F4E79"/>
      </top>
      <bottom style="thin">
        <color rgb="FF1F4E79"/>
      </bottom>
      <diagonal/>
    </border>
    <border>
      <left style="thin">
        <color rgb="FFB4C6E7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6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7" fillId="0" borderId="6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1" fillId="7" borderId="8" xfId="0" applyFont="1" applyFill="1" applyBorder="1" applyAlignment="1">
      <alignment horizontal="center" indent="2"/>
    </xf>
    <xf numFmtId="0" fontId="0" fillId="0" borderId="1" xfId="0" applyBorder="1" applyAlignment="1">
      <alignment horizontal="left" indent="2"/>
    </xf>
    <xf numFmtId="0" fontId="4" fillId="3" borderId="1" xfId="0" applyFont="1" applyFill="1" applyBorder="1" applyAlignment="1">
      <alignment horizontal="center" indent="2"/>
    </xf>
    <xf numFmtId="0" fontId="5" fillId="4" borderId="1" xfId="0" applyFont="1" applyFill="1" applyBorder="1" applyAlignment="1">
      <alignment horizontal="center" indent="2"/>
    </xf>
    <xf numFmtId="0" fontId="5" fillId="5" borderId="1" xfId="0" applyFont="1" applyFill="1" applyBorder="1" applyAlignment="1">
      <alignment horizontal="center" indent="2"/>
    </xf>
    <xf numFmtId="0" fontId="4" fillId="6" borderId="9" xfId="0" applyFont="1" applyFill="1" applyBorder="1" applyAlignment="1">
      <alignment horizontal="center" indent="2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12" fillId="11" borderId="10" xfId="0" applyFont="1" applyFill="1" applyBorder="1" applyAlignment="1">
      <alignment horizontal="center" vertical="center"/>
    </xf>
    <xf numFmtId="0" fontId="0" fillId="0" borderId="10" xfId="0" applyBorder="1"/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13" fillId="0" borderId="0" xfId="0" applyFont="1"/>
    <xf numFmtId="0" fontId="6" fillId="9" borderId="14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rgb="FFFFFFFF"/>
      </font>
      <fill>
        <patternFill patternType="solid">
          <fgColor indexed="64"/>
          <bgColor rgb="FF44BB44"/>
        </patternFill>
      </fill>
    </dxf>
    <dxf>
      <font>
        <color rgb="FF000000"/>
      </font>
      <fill>
        <patternFill patternType="solid">
          <fgColor indexed="64"/>
          <bgColor rgb="FFFFDD44"/>
        </patternFill>
      </fill>
    </dxf>
    <dxf>
      <font>
        <b/>
        <i val="0"/>
        <color rgb="FF000000"/>
      </font>
      <fill>
        <patternFill patternType="solid">
          <fgColor indexed="64"/>
          <bgColor rgb="FFFF9933"/>
        </patternFill>
      </fill>
    </dxf>
    <dxf>
      <font>
        <b/>
        <i val="0"/>
        <color rgb="FFFFFFFF"/>
      </font>
      <fill>
        <patternFill patternType="solid">
          <fgColor indexed="64"/>
          <bgColor rgb="FFFF4444"/>
        </patternFill>
      </fill>
    </dxf>
    <dxf>
      <font>
        <color rgb="FFFFFFFF"/>
      </font>
      <fill>
        <patternFill patternType="solid">
          <fgColor indexed="64"/>
          <bgColor rgb="FF44BB44"/>
        </patternFill>
      </fill>
    </dxf>
    <dxf>
      <font>
        <color rgb="FF000000"/>
      </font>
      <fill>
        <patternFill patternType="solid">
          <fgColor indexed="64"/>
          <bgColor rgb="FFFFDD44"/>
        </patternFill>
      </fill>
    </dxf>
    <dxf>
      <font>
        <b/>
        <i val="0"/>
        <color rgb="FF000000"/>
      </font>
      <fill>
        <patternFill patternType="solid">
          <fgColor indexed="64"/>
          <bgColor rgb="FFFF9933"/>
        </patternFill>
      </fill>
    </dxf>
    <dxf>
      <font>
        <b/>
        <i val="0"/>
        <color rgb="FFFFFFFF"/>
      </font>
      <fill>
        <patternFill patternType="solid">
          <fgColor indexed="64"/>
          <bgColor rgb="FFFF4444"/>
        </patternFill>
      </fill>
    </dxf>
    <dxf>
      <font>
        <color rgb="FFFFFFFF"/>
      </font>
      <fill>
        <patternFill patternType="solid">
          <fgColor indexed="64"/>
          <bgColor rgb="FF44BB44"/>
        </patternFill>
      </fill>
    </dxf>
    <dxf>
      <font>
        <color rgb="FF000000"/>
      </font>
      <fill>
        <patternFill patternType="solid">
          <fgColor indexed="64"/>
          <bgColor rgb="FFFFDD44"/>
        </patternFill>
      </fill>
    </dxf>
    <dxf>
      <font>
        <b/>
        <i val="0"/>
        <color rgb="FF000000"/>
      </font>
      <fill>
        <patternFill patternType="solid">
          <fgColor indexed="64"/>
          <bgColor rgb="FFFF9933"/>
        </patternFill>
      </fill>
    </dxf>
    <dxf>
      <font>
        <b/>
        <i val="0"/>
        <color rgb="FFFFFFFF"/>
      </font>
      <fill>
        <patternFill patternType="solid">
          <fgColor indexed="64"/>
          <bgColor rgb="FFFF4444"/>
        </patternFill>
      </fill>
    </dxf>
    <dxf>
      <font>
        <color rgb="FFFFFFFF"/>
      </font>
      <fill>
        <patternFill patternType="solid">
          <fgColor indexed="64"/>
          <bgColor rgb="FF44BB44"/>
        </patternFill>
      </fill>
    </dxf>
    <dxf>
      <font>
        <color rgb="FF000000"/>
      </font>
      <fill>
        <patternFill patternType="solid">
          <fgColor indexed="64"/>
          <bgColor rgb="FFFFDD44"/>
        </patternFill>
      </fill>
    </dxf>
    <dxf>
      <font>
        <b/>
        <i val="0"/>
        <color rgb="FF000000"/>
      </font>
      <fill>
        <patternFill patternType="solid">
          <fgColor indexed="64"/>
          <bgColor rgb="FFFF9933"/>
        </patternFill>
      </fill>
    </dxf>
    <dxf>
      <font>
        <b/>
        <i val="0"/>
        <color rgb="FFFFFFFF"/>
      </font>
      <fill>
        <patternFill patternType="solid">
          <fgColor indexed="64"/>
          <bgColor rgb="FFFF4444"/>
        </patternFill>
      </fill>
    </dxf>
    <dxf>
      <font>
        <color rgb="FFFFFFFF"/>
      </font>
      <fill>
        <patternFill patternType="solid">
          <fgColor indexed="64"/>
          <bgColor rgb="FF44BB44"/>
        </patternFill>
      </fill>
    </dxf>
    <dxf>
      <font>
        <color rgb="FF000000"/>
      </font>
      <fill>
        <patternFill patternType="solid">
          <fgColor indexed="64"/>
          <bgColor rgb="FFFFDD44"/>
        </patternFill>
      </fill>
    </dxf>
    <dxf>
      <font>
        <b/>
        <i val="0"/>
        <color rgb="FF000000"/>
      </font>
      <fill>
        <patternFill patternType="solid">
          <fgColor indexed="64"/>
          <bgColor rgb="FFFF9933"/>
        </patternFill>
      </fill>
    </dxf>
    <dxf>
      <font>
        <b/>
        <i val="0"/>
        <color rgb="FFFFFFFF"/>
      </font>
      <fill>
        <patternFill patternType="solid">
          <fgColor indexed="64"/>
          <bgColor rgb="FFFF4444"/>
        </patternFill>
      </fill>
    </dxf>
    <dxf>
      <font>
        <color rgb="FFFFFFFF"/>
      </font>
      <fill>
        <patternFill patternType="solid">
          <fgColor indexed="64"/>
          <bgColor rgb="FF44BB44"/>
        </patternFill>
      </fill>
    </dxf>
    <dxf>
      <font>
        <color rgb="FF000000"/>
      </font>
      <fill>
        <patternFill patternType="solid">
          <fgColor indexed="64"/>
          <bgColor rgb="FFFFDD44"/>
        </patternFill>
      </fill>
    </dxf>
    <dxf>
      <font>
        <b/>
        <i val="0"/>
        <color rgb="FF000000"/>
      </font>
      <fill>
        <patternFill patternType="solid">
          <fgColor indexed="64"/>
          <bgColor rgb="FFFF9933"/>
        </patternFill>
      </fill>
    </dxf>
    <dxf>
      <font>
        <b/>
        <i val="0"/>
        <color rgb="FFFFFFFF"/>
      </font>
      <fill>
        <patternFill patternType="solid">
          <fgColor indexed="64"/>
          <bgColor rgb="FFFF4444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6B58-8BDD-4379-9FE4-459018A87C75}">
  <dimension ref="A1:G25"/>
  <sheetViews>
    <sheetView tabSelected="1" workbookViewId="0">
      <selection activeCell="C12" sqref="C12"/>
    </sheetView>
  </sheetViews>
  <sheetFormatPr baseColWidth="10" defaultRowHeight="14.5" x14ac:dyDescent="0.35"/>
  <cols>
    <col min="1" max="1" width="21.36328125" customWidth="1"/>
    <col min="2" max="2" width="50.90625" customWidth="1"/>
    <col min="3" max="3" width="13.6328125" customWidth="1"/>
    <col min="4" max="4" width="10" customWidth="1"/>
    <col min="5" max="5" width="9.08984375" customWidth="1"/>
    <col min="6" max="6" width="11.81640625" customWidth="1"/>
    <col min="7" max="7" width="58.1796875" customWidth="1"/>
  </cols>
  <sheetData>
    <row r="1" spans="1:7" ht="40" customHeight="1" thickBot="1" x14ac:dyDescent="0.4">
      <c r="A1" s="22" t="s">
        <v>48</v>
      </c>
      <c r="B1" s="23"/>
      <c r="C1" s="23"/>
      <c r="D1" s="23"/>
      <c r="E1" s="23"/>
      <c r="F1" s="23"/>
      <c r="G1" s="23"/>
    </row>
    <row r="2" spans="1:7" s="1" customFormat="1" ht="30" customHeight="1" thickTop="1" x14ac:dyDescent="0.35">
      <c r="A2" s="24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6" t="s">
        <v>6</v>
      </c>
    </row>
    <row r="3" spans="1:7" ht="25" customHeight="1" x14ac:dyDescent="0.35">
      <c r="A3" s="18" t="s">
        <v>7</v>
      </c>
      <c r="B3" s="19" t="s">
        <v>15</v>
      </c>
      <c r="C3" s="20">
        <v>3</v>
      </c>
      <c r="D3" s="20">
        <v>4</v>
      </c>
      <c r="E3" s="2">
        <f>C3*D3</f>
        <v>12</v>
      </c>
      <c r="F3" s="2" t="str">
        <f>IF(E3&lt;=5,"Faible",IF(E3&lt;=10,"Moyen",IF(E3&lt;=15,"Élevé","Critique")))</f>
        <v>Élevé</v>
      </c>
      <c r="G3" s="21" t="s">
        <v>34</v>
      </c>
    </row>
    <row r="4" spans="1:7" ht="25" customHeight="1" x14ac:dyDescent="0.35">
      <c r="A4" s="15" t="s">
        <v>8</v>
      </c>
      <c r="B4" s="16" t="s">
        <v>16</v>
      </c>
      <c r="C4" s="17">
        <v>3</v>
      </c>
      <c r="D4" s="17">
        <v>4</v>
      </c>
      <c r="E4" s="17">
        <f t="shared" ref="E4:E14" si="0">C4*D4</f>
        <v>12</v>
      </c>
      <c r="F4" s="17" t="str">
        <f t="shared" ref="F4:F14" si="1">IF(E4&lt;=5,"Faible",IF(E4&lt;=10,"Moyen",IF(E4&lt;=15,"Élevé","Critique")))</f>
        <v>Élevé</v>
      </c>
      <c r="G4" s="21" t="s">
        <v>36</v>
      </c>
    </row>
    <row r="5" spans="1:7" ht="25" customHeight="1" x14ac:dyDescent="0.35">
      <c r="A5" s="18" t="s">
        <v>9</v>
      </c>
      <c r="B5" s="19" t="s">
        <v>17</v>
      </c>
      <c r="C5" s="20">
        <v>3</v>
      </c>
      <c r="D5" s="20">
        <v>3</v>
      </c>
      <c r="E5" s="2">
        <f t="shared" si="0"/>
        <v>9</v>
      </c>
      <c r="F5" s="2" t="str">
        <f t="shared" si="1"/>
        <v>Moyen</v>
      </c>
      <c r="G5" s="21" t="s">
        <v>35</v>
      </c>
    </row>
    <row r="6" spans="1:7" ht="25" customHeight="1" x14ac:dyDescent="0.35">
      <c r="A6" s="15" t="s">
        <v>10</v>
      </c>
      <c r="B6" s="16" t="s">
        <v>18</v>
      </c>
      <c r="C6" s="17">
        <v>4</v>
      </c>
      <c r="D6" s="17">
        <v>3</v>
      </c>
      <c r="E6" s="17">
        <f t="shared" si="0"/>
        <v>12</v>
      </c>
      <c r="F6" s="17" t="str">
        <f t="shared" si="1"/>
        <v>Élevé</v>
      </c>
      <c r="G6" s="21" t="s">
        <v>31</v>
      </c>
    </row>
    <row r="7" spans="1:7" ht="25" customHeight="1" x14ac:dyDescent="0.35">
      <c r="A7" s="18" t="s">
        <v>11</v>
      </c>
      <c r="B7" s="19" t="s">
        <v>19</v>
      </c>
      <c r="C7" s="20">
        <v>2</v>
      </c>
      <c r="D7" s="20">
        <v>2</v>
      </c>
      <c r="E7" s="2">
        <f t="shared" si="0"/>
        <v>4</v>
      </c>
      <c r="F7" s="2" t="str">
        <f t="shared" si="1"/>
        <v>Faible</v>
      </c>
      <c r="G7" s="21" t="s">
        <v>40</v>
      </c>
    </row>
    <row r="8" spans="1:7" ht="25" customHeight="1" x14ac:dyDescent="0.35">
      <c r="A8" s="15" t="s">
        <v>12</v>
      </c>
      <c r="B8" s="16" t="s">
        <v>20</v>
      </c>
      <c r="C8" s="17">
        <v>3</v>
      </c>
      <c r="D8" s="17">
        <v>2</v>
      </c>
      <c r="E8" s="17">
        <f t="shared" si="0"/>
        <v>6</v>
      </c>
      <c r="F8" s="17" t="str">
        <f t="shared" si="1"/>
        <v>Moyen</v>
      </c>
      <c r="G8" s="21" t="s">
        <v>41</v>
      </c>
    </row>
    <row r="9" spans="1:7" ht="25" customHeight="1" x14ac:dyDescent="0.35">
      <c r="A9" s="18" t="s">
        <v>13</v>
      </c>
      <c r="B9" s="19" t="s">
        <v>30</v>
      </c>
      <c r="C9" s="20">
        <v>5</v>
      </c>
      <c r="D9" s="20">
        <v>4</v>
      </c>
      <c r="E9" s="2">
        <f t="shared" si="0"/>
        <v>20</v>
      </c>
      <c r="F9" s="2" t="str">
        <f t="shared" si="1"/>
        <v>Critique</v>
      </c>
      <c r="G9" s="21" t="s">
        <v>33</v>
      </c>
    </row>
    <row r="10" spans="1:7" ht="25" customHeight="1" x14ac:dyDescent="0.35">
      <c r="A10" s="15" t="s">
        <v>14</v>
      </c>
      <c r="B10" s="16" t="s">
        <v>21</v>
      </c>
      <c r="C10" s="17">
        <v>4</v>
      </c>
      <c r="D10" s="17">
        <v>3</v>
      </c>
      <c r="E10" s="17">
        <f t="shared" si="0"/>
        <v>12</v>
      </c>
      <c r="F10" s="17" t="str">
        <f t="shared" si="1"/>
        <v>Élevé</v>
      </c>
      <c r="G10" s="21" t="s">
        <v>42</v>
      </c>
    </row>
    <row r="11" spans="1:7" ht="25" customHeight="1" x14ac:dyDescent="0.35">
      <c r="A11" s="18" t="s">
        <v>22</v>
      </c>
      <c r="B11" s="19" t="s">
        <v>26</v>
      </c>
      <c r="C11" s="20">
        <v>4</v>
      </c>
      <c r="D11" s="20">
        <v>3</v>
      </c>
      <c r="E11" s="2">
        <f t="shared" si="0"/>
        <v>12</v>
      </c>
      <c r="F11" s="2" t="str">
        <f t="shared" si="1"/>
        <v>Élevé</v>
      </c>
      <c r="G11" s="21" t="s">
        <v>37</v>
      </c>
    </row>
    <row r="12" spans="1:7" ht="25" customHeight="1" x14ac:dyDescent="0.35">
      <c r="A12" s="15" t="s">
        <v>23</v>
      </c>
      <c r="B12" s="16" t="s">
        <v>27</v>
      </c>
      <c r="C12" s="17">
        <v>4</v>
      </c>
      <c r="D12" s="17">
        <v>4</v>
      </c>
      <c r="E12" s="17">
        <f t="shared" si="0"/>
        <v>16</v>
      </c>
      <c r="F12" s="17" t="str">
        <f t="shared" si="1"/>
        <v>Critique</v>
      </c>
      <c r="G12" s="21" t="s">
        <v>32</v>
      </c>
    </row>
    <row r="13" spans="1:7" ht="25" customHeight="1" x14ac:dyDescent="0.35">
      <c r="A13" s="28" t="s">
        <v>24</v>
      </c>
      <c r="B13" s="29" t="s">
        <v>28</v>
      </c>
      <c r="C13" s="30">
        <v>3</v>
      </c>
      <c r="D13" s="30">
        <v>3</v>
      </c>
      <c r="E13" s="31">
        <f t="shared" si="0"/>
        <v>9</v>
      </c>
      <c r="F13" s="31" t="str">
        <f t="shared" si="1"/>
        <v>Moyen</v>
      </c>
      <c r="G13" s="32" t="s">
        <v>38</v>
      </c>
    </row>
    <row r="14" spans="1:7" ht="25" customHeight="1" x14ac:dyDescent="0.35">
      <c r="A14" s="33" t="s">
        <v>25</v>
      </c>
      <c r="B14" s="34" t="s">
        <v>29</v>
      </c>
      <c r="C14" s="34">
        <v>4</v>
      </c>
      <c r="D14" s="34">
        <v>3</v>
      </c>
      <c r="E14" s="35">
        <f t="shared" si="0"/>
        <v>12</v>
      </c>
      <c r="F14" s="35" t="str">
        <f t="shared" si="1"/>
        <v>Élevé</v>
      </c>
      <c r="G14" s="36" t="s">
        <v>39</v>
      </c>
    </row>
    <row r="15" spans="1:7" ht="16" x14ac:dyDescent="0.4">
      <c r="A15" s="27" t="s">
        <v>49</v>
      </c>
    </row>
    <row r="17" spans="1:2" ht="16" x14ac:dyDescent="0.4">
      <c r="A17" s="3" t="s">
        <v>43</v>
      </c>
      <c r="B17" s="9">
        <f>COUNTA(A3:A14)</f>
        <v>12</v>
      </c>
    </row>
    <row r="18" spans="1:2" x14ac:dyDescent="0.35">
      <c r="A18" s="4"/>
      <c r="B18" s="10"/>
    </row>
    <row r="19" spans="1:2" x14ac:dyDescent="0.35">
      <c r="A19" s="5" t="s">
        <v>44</v>
      </c>
      <c r="B19" s="11">
        <f>COUNTIF(F3:F14,"Critique")</f>
        <v>2</v>
      </c>
    </row>
    <row r="20" spans="1:2" x14ac:dyDescent="0.35">
      <c r="A20" s="4"/>
      <c r="B20" s="10"/>
    </row>
    <row r="21" spans="1:2" x14ac:dyDescent="0.35">
      <c r="A21" s="6" t="s">
        <v>45</v>
      </c>
      <c r="B21" s="12">
        <f>COUNTIF(F3:F14,"Élevé")</f>
        <v>6</v>
      </c>
    </row>
    <row r="22" spans="1:2" x14ac:dyDescent="0.35">
      <c r="A22" s="4"/>
      <c r="B22" s="10"/>
    </row>
    <row r="23" spans="1:2" x14ac:dyDescent="0.35">
      <c r="A23" s="7" t="s">
        <v>46</v>
      </c>
      <c r="B23" s="13">
        <f>COUNTIF(F3:F14,"Moyen")</f>
        <v>3</v>
      </c>
    </row>
    <row r="24" spans="1:2" x14ac:dyDescent="0.35">
      <c r="A24" s="4"/>
      <c r="B24" s="10"/>
    </row>
    <row r="25" spans="1:2" x14ac:dyDescent="0.35">
      <c r="A25" s="8" t="s">
        <v>47</v>
      </c>
      <c r="B25" s="14">
        <f>COUNTIF(F3:F14,"Faible")</f>
        <v>1</v>
      </c>
    </row>
  </sheetData>
  <mergeCells count="1">
    <mergeCell ref="A1:G1"/>
  </mergeCells>
  <phoneticPr fontId="3" type="noConversion"/>
  <conditionalFormatting sqref="E3:E14">
    <cfRule type="cellIs" dxfId="7" priority="14" operator="greaterThanOrEqual">
      <formula>16</formula>
    </cfRule>
  </conditionalFormatting>
  <conditionalFormatting sqref="E3:E14">
    <cfRule type="cellIs" dxfId="6" priority="15" operator="between">
      <formula>10</formula>
      <formula>15</formula>
    </cfRule>
  </conditionalFormatting>
  <conditionalFormatting sqref="E3:E14">
    <cfRule type="cellIs" dxfId="5" priority="16" operator="between">
      <formula>5</formula>
      <formula>9</formula>
    </cfRule>
  </conditionalFormatting>
  <conditionalFormatting sqref="E3:E14">
    <cfRule type="cellIs" dxfId="4" priority="17" operator="between">
      <formula>1</formula>
      <formula>4</formula>
    </cfRule>
  </conditionalFormatting>
  <conditionalFormatting sqref="F3:F14">
    <cfRule type="containsText" dxfId="3" priority="18" operator="containsText" text="Critique">
      <formula>NOT(ISERROR(SEARCH("Critique",F3)))</formula>
    </cfRule>
  </conditionalFormatting>
  <conditionalFormatting sqref="F3:F14">
    <cfRule type="containsText" dxfId="2" priority="19" operator="containsText" text="Élevé">
      <formula>NOT(ISERROR(SEARCH("Élevé",F3)))</formula>
    </cfRule>
  </conditionalFormatting>
  <conditionalFormatting sqref="F3:F14">
    <cfRule type="containsText" dxfId="1" priority="20" operator="containsText" text="Moyen">
      <formula>NOT(ISERROR(SEARCH("Moyen",F3)))</formula>
    </cfRule>
  </conditionalFormatting>
  <conditionalFormatting sqref="F3:F14">
    <cfRule type="containsText" dxfId="0" priority="21" operator="containsText" text="Faible">
      <formula>NOT(ISERROR(SEARCH("Faible",F3)))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Nitiema Aguiratou</dc:creator>
  <cp:lastModifiedBy>Nitiema Aguiratou</cp:lastModifiedBy>
  <cp:lastPrinted>2026-06-22T12:09:08Z</cp:lastPrinted>
  <dcterms:created xsi:type="dcterms:W3CDTF">2026-06-22T10:02:54Z</dcterms:created>
  <dcterms:modified xsi:type="dcterms:W3CDTF">2026-06-22T12:55:51Z</dcterms:modified>
</cp:coreProperties>
</file>